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Data" sheetId="1" state="visible" r:id="rId3"/>
    <sheet name="Sorted 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<sst xmlns="http://schemas.openxmlformats.org/spreadsheetml/2006/main" count="37" uniqueCount="19">
  <si>
    <t xml:space="preserve">Toms Run Monitoring Station
2026 Monthly Water Quality Summary</t>
  </si>
  <si>
    <t xml:space="preserve">Month</t>
  </si>
  <si>
    <t xml:space="preserve">Discharge (cfs)</t>
  </si>
  <si>
    <t xml:space="preserve">Turbidity (NTU)</t>
  </si>
  <si>
    <t xml:space="preserve">WaterTemp (F)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</si>
  <si>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</si>
  <si>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</si>
  <si>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</si>
  <si>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</si>
  <si>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</si>
  <si>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</si>
  <si>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</si>
  <si>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</si>
  <si>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</si>
  <si>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</si>
  <si>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</si>
  <si>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</si>
  <si>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Avg / Total</t>
  </si>
  <si>
    <t xml:space="preserve">Note: sorted by Discharge, largest to smallest. Month order is no longer chronological -- don't build a time-series chart from this sheet.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</si>
</sst>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7A7A7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n"/>
      <top/>
      <bottom style="thick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Discharge — Toms Run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Data'!B2</c:f>
              <c:strCache>
                <c:ptCount val="1"/>
                <c:pt idx="0">
                  <c:v>Discharge (cfs)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Data'!$A$3:$A$14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Data'!$B$3:$B$14</c:f>
              <c:numCache>
                <c:formatCode>#,##0</c:formatCode>
                <c:ptCount val="12"/>
                <c:pt idx="0">
                  <c:v>45</c:v>
                </c:pt>
                <c:pt idx="1">
                  <c:v>52</c:v>
                </c:pt>
                <c:pt idx="2">
                  <c:v>78</c:v>
                </c:pt>
                <c:pt idx="3">
                  <c:v>95</c:v>
                </c:pt>
                <c:pt idx="4">
                  <c:v>68</c:v>
                </c:pt>
                <c:pt idx="5">
                  <c:v>40</c:v>
                </c:pt>
                <c:pt idx="6">
                  <c:v>22</c:v>
                </c:pt>
                <c:pt idx="7">
                  <c:v>18</c:v>
                </c:pt>
                <c:pt idx="8">
                  <c:v>25</c:v>
                </c:pt>
                <c:pt idx="9">
                  <c:v>35</c:v>
                </c:pt>
                <c:pt idx="10">
                  <c:v>50</c:v>
                </c:pt>
                <c:pt idx="11">
                  <c:v>60</c:v>
                </c:pt>
              </c:numCache>
            </c:numRef>
          </c:val>
        </c:ser>
        <c:gapWidth val="150"/>
        <c:overlap val="0"/>
        <c:axId val="41992850"/>
        <c:axId val="2004953"/>
      </c:barChart>
      <c:catAx>
        <c:axId val="41992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4953"/>
        <c:crosses val="autoZero"/>
        <c:auto val="1"/>
        <c:lblAlgn val="ctr"/>
        <c:lblOffset val="100"/>
        <c:noMultiLvlLbl val="0"/>
      </c:catAx>
      <c:valAx>
        <c:axId val="20049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Discharge (cfs)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9928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16</xdr:row>
      <xdr:rowOff>21960</xdr:rowOff>
    </xdr:to>
    <xdr:graphicFrame>
      <xdr:nvGraphicFramePr>
        <xdr:cNvPr id="0" name="Chart 1"/>
        <xdr:cNvGraphicFramePr/>
      </xdr:nvGraphicFramePr>
      <xdr:xfrm>
        <a:off x="469980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</row>
    <row r="3" customFormat="false" ht="15" hidden="false" customHeight="false" outlineLevel="0" collapsed="false">
      <c r="A3" s="5" t="s">
        <v>5</v>
      </c>
      <c r="B3" s="6" t="n">
        <v>45</v>
      </c>
      <c r="C3" s="7" t="n">
        <v>8.2</v>
      </c>
      <c r="D3" s="8" t="n">
        <v>38</v>
      </c>
    </row>
    <row r="4" customFormat="false" ht="15" hidden="false" customHeight="false" outlineLevel="0" collapsed="false">
      <c r="A4" s="5" t="s">
        <v>6</v>
      </c>
      <c r="B4" s="6" t="n">
        <v>52</v>
      </c>
      <c r="C4" s="7" t="n">
        <v>9.5</v>
      </c>
      <c r="D4" s="8" t="n">
        <v>40</v>
      </c>
    </row>
    <row r="5" customFormat="false" ht="15" hidden="false" customHeight="false" outlineLevel="0" collapsed="false">
      <c r="A5" s="5" t="s">
        <v>7</v>
      </c>
      <c r="B5" s="6" t="n">
        <v>78</v>
      </c>
      <c r="C5" s="7" t="n">
        <v>22.4</v>
      </c>
      <c r="D5" s="8" t="n">
        <v>48</v>
      </c>
    </row>
    <row r="6" customFormat="false" ht="15" hidden="false" customHeight="false" outlineLevel="0" collapsed="false">
      <c r="A6" s="5" t="s">
        <v>8</v>
      </c>
      <c r="B6" s="6" t="n">
        <v>95</v>
      </c>
      <c r="C6" s="7" t="n">
        <v>31</v>
      </c>
      <c r="D6" s="8" t="n">
        <v>55</v>
      </c>
    </row>
    <row r="7" customFormat="false" ht="15" hidden="false" customHeight="false" outlineLevel="0" collapsed="false">
      <c r="A7" s="5" t="s">
        <v>9</v>
      </c>
      <c r="B7" s="6" t="n">
        <v>68</v>
      </c>
      <c r="C7" s="7" t="n">
        <v>18.6</v>
      </c>
      <c r="D7" s="8" t="n">
        <v>62</v>
      </c>
    </row>
    <row r="8" customFormat="false" ht="15" hidden="false" customHeight="false" outlineLevel="0" collapsed="false">
      <c r="A8" s="5" t="s">
        <v>10</v>
      </c>
      <c r="B8" s="6" t="n">
        <v>40</v>
      </c>
      <c r="C8" s="7" t="n">
        <v>11.2</v>
      </c>
      <c r="D8" s="8" t="n">
        <v>70</v>
      </c>
    </row>
    <row r="9" customFormat="false" ht="15" hidden="false" customHeight="false" outlineLevel="0" collapsed="false">
      <c r="A9" s="5" t="s">
        <v>11</v>
      </c>
      <c r="B9" s="6" t="n">
        <v>22</v>
      </c>
      <c r="C9" s="7" t="n">
        <v>6.8</v>
      </c>
      <c r="D9" s="8" t="n">
        <v>75</v>
      </c>
    </row>
    <row r="10" customFormat="false" ht="15" hidden="false" customHeight="false" outlineLevel="0" collapsed="false">
      <c r="A10" s="5" t="s">
        <v>12</v>
      </c>
      <c r="B10" s="6" t="n">
        <v>18</v>
      </c>
      <c r="C10" s="7" t="n">
        <v>5.5</v>
      </c>
      <c r="D10" s="8" t="n">
        <v>76</v>
      </c>
    </row>
    <row r="11" customFormat="false" ht="15" hidden="false" customHeight="false" outlineLevel="0" collapsed="false">
      <c r="A11" s="5" t="s">
        <v>13</v>
      </c>
      <c r="B11" s="6" t="n">
        <v>25</v>
      </c>
      <c r="C11" s="7" t="n">
        <v>7.9</v>
      </c>
      <c r="D11" s="8" t="n">
        <v>68</v>
      </c>
    </row>
    <row r="12" customFormat="false" ht="15" hidden="false" customHeight="false" outlineLevel="0" collapsed="false">
      <c r="A12" s="5" t="s">
        <v>14</v>
      </c>
      <c r="B12" s="6" t="n">
        <v>35</v>
      </c>
      <c r="C12" s="7" t="n">
        <v>10.1</v>
      </c>
      <c r="D12" s="8" t="n">
        <v>58</v>
      </c>
    </row>
    <row r="13" customFormat="false" ht="15" hidden="false" customHeight="false" outlineLevel="0" collapsed="false">
      <c r="A13" s="5" t="s">
        <v>15</v>
      </c>
      <c r="B13" s="6" t="n">
        <v>50</v>
      </c>
      <c r="C13" s="7" t="n">
        <v>14.3</v>
      </c>
      <c r="D13" s="8" t="n">
        <v>47</v>
      </c>
    </row>
    <row r="14" customFormat="false" ht="15" hidden="false" customHeight="false" outlineLevel="0" collapsed="false">
      <c r="A14" s="5" t="s">
        <v>16</v>
      </c>
      <c r="B14" s="6" t="n">
        <v>60</v>
      </c>
      <c r="C14" s="7" t="n">
        <v>16.7</v>
      </c>
      <c r="D14" s="8" t="n">
        <v>40</v>
      </c>
    </row>
    <row r="15" customFormat="false" ht="15" hidden="false" customHeight="false" outlineLevel="0" collapsed="false">
      <c r="A15" s="9" t="s">
        <v>17</v>
      </c>
      <c r="B15" s="10" t="n">
        <f aca="false">AVERAGE(B3:B14)</f>
        <v>49</v>
      </c>
      <c r="C15" s="11" t="n">
        <f aca="false">AVERAGE(C3:C14)</f>
        <v>13.5166666666667</v>
      </c>
      <c r="D15" s="12" t="n">
        <f aca="false">AVERAGE(D3:D14)</f>
        <v>56.4166666666667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4" t="s">
        <v>4</v>
      </c>
    </row>
    <row r="3" customFormat="false" ht="15" hidden="false" customHeight="false" outlineLevel="0" collapsed="false">
      <c r="A3" s="5" t="s">
        <v>8</v>
      </c>
      <c r="B3" s="6" t="n">
        <v>95</v>
      </c>
      <c r="C3" s="7" t="n">
        <v>31</v>
      </c>
      <c r="D3" s="8" t="n">
        <v>55</v>
      </c>
    </row>
    <row r="4" customFormat="false" ht="15" hidden="false" customHeight="false" outlineLevel="0" collapsed="false">
      <c r="A4" s="5" t="s">
        <v>7</v>
      </c>
      <c r="B4" s="6" t="n">
        <v>78</v>
      </c>
      <c r="C4" s="7" t="n">
        <v>22.4</v>
      </c>
      <c r="D4" s="8" t="n">
        <v>48</v>
      </c>
    </row>
    <row r="5" customFormat="false" ht="15" hidden="false" customHeight="false" outlineLevel="0" collapsed="false">
      <c r="A5" s="5" t="s">
        <v>9</v>
      </c>
      <c r="B5" s="6" t="n">
        <v>68</v>
      </c>
      <c r="C5" s="7" t="n">
        <v>18.6</v>
      </c>
      <c r="D5" s="8" t="n">
        <v>62</v>
      </c>
    </row>
    <row r="6" customFormat="false" ht="15" hidden="false" customHeight="false" outlineLevel="0" collapsed="false">
      <c r="A6" s="5" t="s">
        <v>16</v>
      </c>
      <c r="B6" s="6" t="n">
        <v>60</v>
      </c>
      <c r="C6" s="7" t="n">
        <v>16.7</v>
      </c>
      <c r="D6" s="8" t="n">
        <v>40</v>
      </c>
    </row>
    <row r="7" customFormat="false" ht="15" hidden="false" customHeight="false" outlineLevel="0" collapsed="false">
      <c r="A7" s="5" t="s">
        <v>6</v>
      </c>
      <c r="B7" s="6" t="n">
        <v>52</v>
      </c>
      <c r="C7" s="7" t="n">
        <v>9.5</v>
      </c>
      <c r="D7" s="8" t="n">
        <v>40</v>
      </c>
    </row>
    <row r="8" customFormat="false" ht="15" hidden="false" customHeight="false" outlineLevel="0" collapsed="false">
      <c r="A8" s="5" t="s">
        <v>15</v>
      </c>
      <c r="B8" s="6" t="n">
        <v>50</v>
      </c>
      <c r="C8" s="7" t="n">
        <v>14.3</v>
      </c>
      <c r="D8" s="8" t="n">
        <v>47</v>
      </c>
    </row>
    <row r="9" customFormat="false" ht="15" hidden="false" customHeight="false" outlineLevel="0" collapsed="false">
      <c r="A9" s="5" t="s">
        <v>5</v>
      </c>
      <c r="B9" s="6" t="n">
        <v>45</v>
      </c>
      <c r="C9" s="7" t="n">
        <v>8.2</v>
      </c>
      <c r="D9" s="8" t="n">
        <v>38</v>
      </c>
    </row>
    <row r="10" customFormat="false" ht="15" hidden="false" customHeight="false" outlineLevel="0" collapsed="false">
      <c r="A10" s="5" t="s">
        <v>10</v>
      </c>
      <c r="B10" s="6" t="n">
        <v>40</v>
      </c>
      <c r="C10" s="7" t="n">
        <v>11.2</v>
      </c>
      <c r="D10" s="8" t="n">
        <v>70</v>
      </c>
    </row>
    <row r="11" customFormat="false" ht="15" hidden="false" customHeight="false" outlineLevel="0" collapsed="false">
      <c r="A11" s="5" t="s">
        <v>14</v>
      </c>
      <c r="B11" s="6" t="n">
        <v>35</v>
      </c>
      <c r="C11" s="7" t="n">
        <v>10.1</v>
      </c>
      <c r="D11" s="8" t="n">
        <v>58</v>
      </c>
    </row>
    <row r="12" customFormat="false" ht="15" hidden="false" customHeight="false" outlineLevel="0" collapsed="false">
      <c r="A12" s="5" t="s">
        <v>13</v>
      </c>
      <c r="B12" s="6" t="n">
        <v>25</v>
      </c>
      <c r="C12" s="7" t="n">
        <v>7.9</v>
      </c>
      <c r="D12" s="8" t="n">
        <v>68</v>
      </c>
    </row>
    <row r="13" customFormat="false" ht="15" hidden="false" customHeight="false" outlineLevel="0" collapsed="false">
      <c r="A13" s="5" t="s">
        <v>11</v>
      </c>
      <c r="B13" s="6" t="n">
        <v>22</v>
      </c>
      <c r="C13" s="7" t="n">
        <v>6.8</v>
      </c>
      <c r="D13" s="8" t="n">
        <v>75</v>
      </c>
    </row>
    <row r="14" customFormat="false" ht="15" hidden="false" customHeight="false" outlineLevel="0" collapsed="false">
      <c r="A14" s="5" t="s">
        <v>12</v>
      </c>
      <c r="B14" s="6" t="n">
        <v>18</v>
      </c>
      <c r="C14" s="7" t="n">
        <v>5.5</v>
      </c>
      <c r="D14" s="8" t="n">
        <v>76</v>
      </c>
    </row>
    <row r="15" customFormat="false" ht="15" hidden="false" customHeight="false" outlineLevel="0" collapsed="false">
      <c r="A15" s="9" t="s">
        <v>17</v>
      </c>
      <c r="B15" s="10" t="n">
        <f aca="false">AVERAGE(B3:B14)</f>
        <v>49</v>
      </c>
      <c r="C15" s="11" t="n">
        <f aca="false">AVERAGE(C3:C14)</f>
        <v>13.5166666666667</v>
      </c>
      <c r="D15" s="12" t="n">
        <f aca="false">AVERAGE(D3:D14)</f>
        <v>56.4166666666667</v>
      </c>
    </row>
    <row r="17" customFormat="false" ht="15" hidden="false" customHeight="false" outlineLevel="0" collapsed="false">
      <c r="A17" s="13" t="s">
        <v>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2026-08-17T14:18:46Z</dcterms:created>
  <dc:creator>openpyxl</dc:creator>
  <dc:description/>
  <dc:language>en-US</dc:language>
  <cp:lastModifiedBy/>
  <dcterms:modified xsi:type="dcterms:W3CDTF">2026-08-17T14:18:53Z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